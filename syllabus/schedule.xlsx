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umass.sharepoint.com/sites/COMPSCI326Spring2026-Curriculum/Shared Documents/Syllabus &amp; Schedule/"/>
    </mc:Choice>
  </mc:AlternateContent>
  <xr:revisionPtr revIDLastSave="474" documentId="8_{B44E2258-F4CE-354F-8376-205F8C38E659}" xr6:coauthVersionLast="47" xr6:coauthVersionMax="47" xr10:uidLastSave="{4662BD17-FCC4-1340-8BA5-3B5136C93F29}"/>
  <bookViews>
    <workbookView xWindow="0" yWindow="780" windowWidth="32060" windowHeight="24600" xr2:uid="{856C6C40-1F48-1848-AC39-4B31B81A14D9}"/>
  </bookViews>
  <sheets>
    <sheet name="Full Schedule" sheetId="1" r:id="rId1"/>
    <sheet name="Week 01" sheetId="2" r:id="rId2"/>
    <sheet name="Week 02" sheetId="3" r:id="rId3"/>
    <sheet name="Week 0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D7" i="4"/>
  <c r="D8" i="3"/>
  <c r="D7" i="3"/>
  <c r="D7" i="2"/>
  <c r="D31" i="1"/>
  <c r="D52" i="1"/>
  <c r="D54" i="1"/>
  <c r="D49" i="1"/>
  <c r="D45" i="1"/>
  <c r="D37" i="1"/>
  <c r="D41" i="1"/>
  <c r="D39" i="1"/>
  <c r="D16" i="1"/>
  <c r="D7" i="1"/>
  <c r="D9" i="1"/>
  <c r="D10" i="1"/>
  <c r="D12" i="1"/>
  <c r="D13" i="1"/>
  <c r="D15" i="1"/>
  <c r="D18" i="1"/>
  <c r="D19" i="1"/>
  <c r="D21" i="1"/>
  <c r="D22" i="1"/>
  <c r="D24" i="1"/>
  <c r="D25" i="1"/>
  <c r="D27" i="1"/>
  <c r="D28" i="1"/>
  <c r="D30" i="1"/>
  <c r="D35" i="1"/>
  <c r="D36" i="1"/>
  <c r="D40" i="1"/>
  <c r="D43" i="1"/>
  <c r="D44" i="1"/>
  <c r="D47" i="1"/>
  <c r="D48" i="1"/>
  <c r="D51" i="1"/>
</calcChain>
</file>

<file path=xl/sharedStrings.xml><?xml version="1.0" encoding="utf-8"?>
<sst xmlns="http://schemas.openxmlformats.org/spreadsheetml/2006/main" count="150" uniqueCount="75">
  <si>
    <t>Class Schedule</t>
  </si>
  <si>
    <t>This is a draft and is subject to change</t>
  </si>
  <si>
    <t>Lec #</t>
  </si>
  <si>
    <t>Lab #</t>
  </si>
  <si>
    <t>Date</t>
  </si>
  <si>
    <t>Day</t>
  </si>
  <si>
    <t>Kind</t>
  </si>
  <si>
    <t>Topic</t>
  </si>
  <si>
    <t>Information</t>
  </si>
  <si>
    <t>Phase 1 - Topic Classes</t>
  </si>
  <si>
    <t>LEC</t>
  </si>
  <si>
    <t>From Browser to Server and Back</t>
  </si>
  <si>
    <t>LAB</t>
  </si>
  <si>
    <t>Elevating The Design of a Journal Application</t>
  </si>
  <si>
    <t>Posting and Retrieving Journal Entries</t>
  </si>
  <si>
    <t>Work with GenAI #1</t>
  </si>
  <si>
    <t>Work with GenAI #2</t>
  </si>
  <si>
    <t>A Repository of Persistence</t>
  </si>
  <si>
    <t>Homework 1 Assigned</t>
  </si>
  <si>
    <t>No Class - Monday Schedule</t>
  </si>
  <si>
    <t>Unit Exam 1</t>
  </si>
  <si>
    <t>Work with GenAI #3</t>
  </si>
  <si>
    <t>Homework 1 Due</t>
  </si>
  <si>
    <t>Homework 2 Assigned</t>
  </si>
  <si>
    <t>Unit Exam 2</t>
  </si>
  <si>
    <t>Work with GenAI #4</t>
  </si>
  <si>
    <t>Homework 2 Due</t>
  </si>
  <si>
    <t>Homework 3 Assigned</t>
  </si>
  <si>
    <t>Work with GenAI #5</t>
  </si>
  <si>
    <t>Unit Exam 3</t>
  </si>
  <si>
    <t>Homework 3 Due</t>
  </si>
  <si>
    <t>Phase 2 - Project Classes</t>
  </si>
  <si>
    <t>Sprint 1 - Framing the System</t>
  </si>
  <si>
    <t>Project Kickoff: The System Takes Shape</t>
  </si>
  <si>
    <t>Defining the First Truth</t>
  </si>
  <si>
    <t>Project Work</t>
  </si>
  <si>
    <t>Sprint 2 - Making It Run</t>
  </si>
  <si>
    <t>From Diagram to Running Code</t>
  </si>
  <si>
    <t>Sprint 1 Review: A System Worth Building</t>
  </si>
  <si>
    <t>First End-to-End Path</t>
  </si>
  <si>
    <t>Sprint 3 - Pressure and Refinement</t>
  </si>
  <si>
    <t>Introducing Pressure</t>
  </si>
  <si>
    <t>Sprint 2 Review: It Runs, But Can It Be Trusted?</t>
  </si>
  <si>
    <t>Hardening the Core</t>
  </si>
  <si>
    <t>No Lab - Monday Schedule</t>
  </si>
  <si>
    <t>Sprint 4 - Operating the System</t>
  </si>
  <si>
    <t>Thinking Like Operators</t>
  </si>
  <si>
    <t>Sprint 3 Review: Surviving Reality</t>
  </si>
  <si>
    <t>Making the System Explain Itself</t>
  </si>
  <si>
    <t>Sprint 5 - Final Push</t>
  </si>
  <si>
    <t>Final Review: A System You Can Defend</t>
  </si>
  <si>
    <t>Sprint 4 Review: Operating Under Uncertainty</t>
  </si>
  <si>
    <t>Final Project Deliverable</t>
  </si>
  <si>
    <t>Submission</t>
  </si>
  <si>
    <t>Last Day of Classes</t>
  </si>
  <si>
    <t>This required more time on administrative stuff than originally planned</t>
  </si>
  <si>
    <t>This worked out well. Basics were covered and introduced.</t>
  </si>
  <si>
    <t>We are going to talk about design by contract/types and file organization</t>
  </si>
  <si>
    <t>This is where we introduce forms.</t>
  </si>
  <si>
    <t>Forming a Repository</t>
  </si>
  <si>
    <t>This needs to change based on 2.3</t>
  </si>
  <si>
    <t>Reading and Rendering Persisted Data</t>
  </si>
  <si>
    <t>Logging and HTTP Method Expansion</t>
  </si>
  <si>
    <t>Results, Errors, and Validation</t>
  </si>
  <si>
    <t>Asynchronous Execution Model</t>
  </si>
  <si>
    <t>Testing as Contract Verification</t>
  </si>
  <si>
    <t>Rendering as a Representation Boundary</t>
  </si>
  <si>
    <t>Prisma + SQLite Setup, Schema Design, and Relational Integrity</t>
  </si>
  <si>
    <t>Prisma Query Patterns and Safe Data Mutation</t>
  </si>
  <si>
    <t>Identity, Credentials, and Session Establishment</t>
  </si>
  <si>
    <t>Policy Enforcement and Resource-Level Authorization</t>
  </si>
  <si>
    <t>Layered Monolith Design and Module Boundaries</t>
  </si>
  <si>
    <t>Service Composition and Transactional Consistency</t>
  </si>
  <si>
    <t>Background Work, File Handling, and Integration Edges</t>
  </si>
  <si>
    <t>Deployment Readiness, Configuration, and Runbook Thinking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</si>
</sst>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0"/>
      <color theme="2"/>
      <name val="Aptos Narrow"/>
      <scheme val="minor"/>
    </font>
    <font>
      <sz val="10"/>
      <color theme="1"/>
      <name val="Aptos Narrow"/>
      <scheme val="minor"/>
    </font>
    <font>
      <sz val="10"/>
      <color theme="2"/>
      <name val="Aptos Narrow"/>
      <scheme val="minor"/>
    </font>
    <font>
      <sz val="10"/>
      <color theme="0"/>
      <name val="Aptos Narrow"/>
      <scheme val="minor"/>
    </font>
    <font>
      <i/>
      <sz val="10"/>
      <color theme="1"/>
      <name val="Aptos Display"/>
      <scheme val="major"/>
    </font>
    <font>
      <i/>
      <sz val="10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4" borderId="1" xfId="0" applyFont="1" applyFill="1" applyBorder="1"/>
    <xf numFmtId="0" fontId="4" fillId="3" borderId="1" xfId="0" applyFont="1" applyFill="1" applyBorder="1"/>
    <xf numFmtId="16" fontId="4" fillId="3" borderId="1" xfId="0" applyNumberFormat="1" applyFont="1" applyFill="1" applyBorder="1"/>
    <xf numFmtId="0" fontId="4" fillId="3" borderId="1" xfId="0" applyFont="1" applyFill="1" applyBorder="1" applyAlignment="1">
      <alignment horizontal="center"/>
    </xf>
    <xf numFmtId="0" fontId="6" fillId="7" borderId="1" xfId="0" applyFont="1" applyFill="1" applyBorder="1"/>
    <xf numFmtId="16" fontId="6" fillId="7" borderId="1" xfId="0" applyNumberFormat="1" applyFont="1" applyFill="1" applyBorder="1"/>
    <xf numFmtId="0" fontId="6" fillId="7" borderId="1" xfId="0" applyFont="1" applyFill="1" applyBorder="1" applyAlignment="1">
      <alignment horizontal="center"/>
    </xf>
    <xf numFmtId="0" fontId="5" fillId="7" borderId="1" xfId="0" applyFont="1" applyFill="1" applyBorder="1"/>
    <xf numFmtId="0" fontId="4" fillId="2" borderId="1" xfId="0" applyFont="1" applyFill="1" applyBorder="1"/>
    <xf numFmtId="16" fontId="4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16" fontId="5" fillId="7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0" fontId="4" fillId="8" borderId="1" xfId="0" applyFont="1" applyFill="1" applyBorder="1"/>
    <xf numFmtId="16" fontId="4" fillId="8" borderId="1" xfId="0" applyNumberFormat="1" applyFont="1" applyFill="1" applyBorder="1"/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/>
    <xf numFmtId="16" fontId="4" fillId="9" borderId="1" xfId="0" applyNumberFormat="1" applyFont="1" applyFill="1" applyBorder="1"/>
    <xf numFmtId="0" fontId="4" fillId="9" borderId="1" xfId="0" applyFont="1" applyFill="1" applyBorder="1" applyAlignment="1">
      <alignment horizontal="center"/>
    </xf>
    <xf numFmtId="0" fontId="8" fillId="9" borderId="1" xfId="0" applyFont="1" applyFill="1" applyBorder="1"/>
    <xf numFmtId="0" fontId="8" fillId="3" borderId="1" xfId="0" applyFont="1" applyFill="1" applyBorder="1"/>
    <xf numFmtId="0" fontId="2" fillId="8" borderId="1" xfId="0" applyFont="1" applyFill="1" applyBorder="1"/>
    <xf numFmtId="0" fontId="4" fillId="3" borderId="1" xfId="0" applyFont="1" applyFill="1" applyBorder="1" applyAlignment="1">
      <alignment vertical="top"/>
    </xf>
    <xf numFmtId="16" fontId="4" fillId="3" borderId="1" xfId="0" applyNumberFormat="1" applyFont="1" applyFill="1" applyBorder="1" applyAlignment="1">
      <alignment vertical="top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05A8-2267-E24D-8F50-DF1FEA61DFD6}">
  <sheetPr>
    <pageSetUpPr fitToPage="1"/>
  </sheetPr>
  <dimension ref="A1:I54"/>
  <sheetViews>
    <sheetView tabSelected="1" zoomScale="140" zoomScaleNormal="140" workbookViewId="0">
      <selection activeCell="F32" sqref="F32"/>
    </sheetView>
  </sheetViews>
  <sheetFormatPr baseColWidth="10" defaultColWidth="11" defaultRowHeight="16" x14ac:dyDescent="0.2"/>
  <cols>
    <col min="1" max="2" width="4.83203125" bestFit="1" customWidth="1"/>
    <col min="4" max="5" width="5.83203125" customWidth="1"/>
    <col min="6" max="6" width="46.83203125" customWidth="1"/>
    <col min="7" max="7" width="39.6640625" customWidth="1"/>
    <col min="9" max="9" width="36" bestFit="1" customWidth="1"/>
  </cols>
  <sheetData>
    <row r="1" spans="1:9" ht="16" customHeight="1" x14ac:dyDescent="0.2">
      <c r="A1" s="28" t="s">
        <v>0</v>
      </c>
      <c r="B1" s="28"/>
      <c r="C1" s="28"/>
      <c r="D1" s="28"/>
      <c r="E1" s="28"/>
      <c r="F1" s="28"/>
      <c r="G1" s="28"/>
    </row>
    <row r="2" spans="1:9" ht="11" customHeight="1" x14ac:dyDescent="0.2">
      <c r="A2" s="28"/>
      <c r="B2" s="28"/>
      <c r="C2" s="28"/>
      <c r="D2" s="28"/>
      <c r="E2" s="28"/>
      <c r="F2" s="28"/>
      <c r="G2" s="28"/>
    </row>
    <row r="3" spans="1:9" ht="4" customHeight="1" x14ac:dyDescent="0.2">
      <c r="A3" s="28"/>
      <c r="B3" s="28"/>
      <c r="C3" s="28"/>
      <c r="D3" s="28"/>
      <c r="E3" s="28"/>
      <c r="F3" s="28"/>
      <c r="G3" s="28"/>
    </row>
    <row r="4" spans="1:9" ht="15" customHeight="1" x14ac:dyDescent="0.2">
      <c r="A4" s="31" t="s">
        <v>1</v>
      </c>
      <c r="B4" s="32"/>
      <c r="C4" s="32"/>
      <c r="D4" s="32"/>
      <c r="E4" s="32"/>
      <c r="F4" s="32"/>
      <c r="G4" s="33"/>
    </row>
    <row r="5" spans="1:9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</row>
    <row r="6" spans="1:9" x14ac:dyDescent="0.2">
      <c r="A6" s="29" t="s">
        <v>9</v>
      </c>
      <c r="B6" s="29"/>
      <c r="C6" s="29"/>
      <c r="D6" s="29"/>
      <c r="E6" s="29"/>
      <c r="F6" s="29"/>
      <c r="G6" s="29"/>
    </row>
    <row r="7" spans="1:9" x14ac:dyDescent="0.2">
      <c r="A7" s="2">
        <v>1</v>
      </c>
      <c r="B7" s="2"/>
      <c r="C7" s="3">
        <v>46051</v>
      </c>
      <c r="D7" s="4" t="str">
        <f>CHOOSE(WEEKDAY(C7,2),"MO","TU","WE","TH","FR","SA","SU")</f>
        <v>TH</v>
      </c>
      <c r="E7" s="4" t="s">
        <v>10</v>
      </c>
      <c r="F7" s="2" t="s">
        <v>11</v>
      </c>
      <c r="G7" s="2"/>
    </row>
    <row r="8" spans="1:9" x14ac:dyDescent="0.2">
      <c r="A8" s="14"/>
      <c r="B8" s="14">
        <v>1</v>
      </c>
      <c r="C8" s="15">
        <v>46052</v>
      </c>
      <c r="D8" s="16"/>
      <c r="E8" s="16" t="s">
        <v>12</v>
      </c>
      <c r="F8" s="14" t="s">
        <v>11</v>
      </c>
      <c r="G8" s="14"/>
    </row>
    <row r="9" spans="1:9" x14ac:dyDescent="0.2">
      <c r="A9" s="2">
        <v>2</v>
      </c>
      <c r="B9" s="2"/>
      <c r="C9" s="3">
        <v>46056</v>
      </c>
      <c r="D9" s="4" t="str">
        <f t="shared" ref="D9:D51" si="0">CHOOSE(WEEKDAY(C9,2),"MO","TU","WE","TH","FR","SA","SU")</f>
        <v>TU</v>
      </c>
      <c r="E9" s="4" t="s">
        <v>10</v>
      </c>
      <c r="F9" s="2" t="s">
        <v>13</v>
      </c>
      <c r="G9" s="2"/>
    </row>
    <row r="10" spans="1:9" x14ac:dyDescent="0.2">
      <c r="A10" s="2">
        <v>3</v>
      </c>
      <c r="B10" s="2"/>
      <c r="C10" s="3">
        <v>46058</v>
      </c>
      <c r="D10" s="4" t="str">
        <f t="shared" si="0"/>
        <v>TH</v>
      </c>
      <c r="E10" s="4" t="s">
        <v>10</v>
      </c>
      <c r="F10" s="2" t="s">
        <v>14</v>
      </c>
      <c r="G10" s="2"/>
    </row>
    <row r="11" spans="1:9" x14ac:dyDescent="0.2">
      <c r="A11" s="14"/>
      <c r="B11" s="14">
        <v>2</v>
      </c>
      <c r="C11" s="15">
        <v>46059</v>
      </c>
      <c r="D11" s="16"/>
      <c r="E11" s="16" t="s">
        <v>12</v>
      </c>
      <c r="F11" s="14" t="s">
        <v>15</v>
      </c>
      <c r="G11" s="14"/>
    </row>
    <row r="12" spans="1:9" x14ac:dyDescent="0.2">
      <c r="A12" s="2">
        <v>4</v>
      </c>
      <c r="B12" s="2"/>
      <c r="C12" s="3">
        <v>46063</v>
      </c>
      <c r="D12" s="4" t="str">
        <f t="shared" si="0"/>
        <v>TU</v>
      </c>
      <c r="E12" s="4" t="s">
        <v>10</v>
      </c>
      <c r="F12" s="2" t="s">
        <v>62</v>
      </c>
      <c r="G12" s="2"/>
      <c r="I12" s="27"/>
    </row>
    <row r="13" spans="1:9" x14ac:dyDescent="0.2">
      <c r="A13" s="2">
        <v>5</v>
      </c>
      <c r="B13" s="2"/>
      <c r="C13" s="3">
        <v>46065</v>
      </c>
      <c r="D13" s="4" t="str">
        <f t="shared" si="0"/>
        <v>TH</v>
      </c>
      <c r="E13" s="4" t="s">
        <v>10</v>
      </c>
      <c r="F13" s="2" t="s">
        <v>63</v>
      </c>
      <c r="G13" s="2"/>
    </row>
    <row r="14" spans="1:9" x14ac:dyDescent="0.2">
      <c r="A14" s="14"/>
      <c r="B14" s="14">
        <v>3</v>
      </c>
      <c r="C14" s="15">
        <v>46066</v>
      </c>
      <c r="D14" s="16"/>
      <c r="E14" s="16" t="s">
        <v>12</v>
      </c>
      <c r="F14" s="14" t="s">
        <v>16</v>
      </c>
      <c r="G14" s="14"/>
    </row>
    <row r="15" spans="1:9" x14ac:dyDescent="0.2">
      <c r="A15" s="2">
        <v>6</v>
      </c>
      <c r="B15" s="2"/>
      <c r="C15" s="3">
        <v>46070</v>
      </c>
      <c r="D15" s="4" t="str">
        <f t="shared" si="0"/>
        <v>TU</v>
      </c>
      <c r="E15" s="4" t="s">
        <v>10</v>
      </c>
      <c r="F15" s="2" t="s">
        <v>64</v>
      </c>
      <c r="G15" s="2"/>
    </row>
    <row r="16" spans="1:9" x14ac:dyDescent="0.2">
      <c r="A16" s="2">
        <v>7</v>
      </c>
      <c r="B16" s="2"/>
      <c r="C16" s="3">
        <v>46072</v>
      </c>
      <c r="D16" s="4" t="str">
        <f t="shared" ref="D16" si="1">CHOOSE(WEEKDAY(C16,2),"MO","TU","WE","TH","FR","SA","SU")</f>
        <v>TH</v>
      </c>
      <c r="E16" s="4" t="s">
        <v>10</v>
      </c>
      <c r="F16" s="2"/>
      <c r="G16" s="21" t="s">
        <v>19</v>
      </c>
    </row>
    <row r="17" spans="1:7" x14ac:dyDescent="0.2">
      <c r="A17" s="14"/>
      <c r="B17" s="14">
        <v>4</v>
      </c>
      <c r="C17" s="15">
        <v>46073</v>
      </c>
      <c r="D17" s="16"/>
      <c r="E17" s="16" t="s">
        <v>12</v>
      </c>
      <c r="F17" s="22" t="s">
        <v>20</v>
      </c>
      <c r="G17" s="14" t="s">
        <v>18</v>
      </c>
    </row>
    <row r="18" spans="1:7" x14ac:dyDescent="0.2">
      <c r="A18" s="2">
        <v>8</v>
      </c>
      <c r="B18" s="2"/>
      <c r="C18" s="3">
        <v>46077</v>
      </c>
      <c r="D18" s="4" t="str">
        <f t="shared" si="0"/>
        <v>TU</v>
      </c>
      <c r="E18" s="4" t="s">
        <v>10</v>
      </c>
      <c r="F18" s="2" t="s">
        <v>65</v>
      </c>
      <c r="G18" s="2"/>
    </row>
    <row r="19" spans="1:7" x14ac:dyDescent="0.2">
      <c r="A19" s="2">
        <v>9</v>
      </c>
      <c r="B19" s="2"/>
      <c r="C19" s="3">
        <v>46079</v>
      </c>
      <c r="D19" s="4" t="str">
        <f t="shared" si="0"/>
        <v>TH</v>
      </c>
      <c r="E19" s="4" t="s">
        <v>10</v>
      </c>
      <c r="F19" s="2" t="s">
        <v>66</v>
      </c>
      <c r="G19" s="2"/>
    </row>
    <row r="20" spans="1:7" x14ac:dyDescent="0.2">
      <c r="A20" s="14"/>
      <c r="B20" s="14">
        <v>5</v>
      </c>
      <c r="C20" s="15">
        <v>46080</v>
      </c>
      <c r="D20" s="16"/>
      <c r="E20" s="16" t="s">
        <v>12</v>
      </c>
      <c r="F20" s="14" t="s">
        <v>21</v>
      </c>
      <c r="G20" s="14"/>
    </row>
    <row r="21" spans="1:7" x14ac:dyDescent="0.2">
      <c r="A21" s="2">
        <v>10</v>
      </c>
      <c r="B21" s="2"/>
      <c r="C21" s="3">
        <v>46084</v>
      </c>
      <c r="D21" s="4" t="str">
        <f t="shared" si="0"/>
        <v>TU</v>
      </c>
      <c r="E21" s="4" t="s">
        <v>10</v>
      </c>
      <c r="F21" s="2" t="s">
        <v>67</v>
      </c>
      <c r="G21" s="2" t="s">
        <v>22</v>
      </c>
    </row>
    <row r="22" spans="1:7" x14ac:dyDescent="0.2">
      <c r="A22" s="2">
        <v>11</v>
      </c>
      <c r="B22" s="2"/>
      <c r="C22" s="3">
        <v>46086</v>
      </c>
      <c r="D22" s="4" t="str">
        <f t="shared" si="0"/>
        <v>TH</v>
      </c>
      <c r="E22" s="4" t="s">
        <v>10</v>
      </c>
      <c r="F22" s="2" t="s">
        <v>68</v>
      </c>
      <c r="G22" s="2" t="s">
        <v>23</v>
      </c>
    </row>
    <row r="23" spans="1:7" x14ac:dyDescent="0.2">
      <c r="A23" s="14"/>
      <c r="B23" s="14">
        <v>6</v>
      </c>
      <c r="C23" s="15">
        <v>46087</v>
      </c>
      <c r="D23" s="16"/>
      <c r="E23" s="16" t="s">
        <v>12</v>
      </c>
      <c r="F23" s="22" t="s">
        <v>24</v>
      </c>
      <c r="G23" s="14"/>
    </row>
    <row r="24" spans="1:7" x14ac:dyDescent="0.2">
      <c r="A24" s="2">
        <v>12</v>
      </c>
      <c r="B24" s="2"/>
      <c r="C24" s="3">
        <v>46091</v>
      </c>
      <c r="D24" s="4" t="str">
        <f t="shared" si="0"/>
        <v>TU</v>
      </c>
      <c r="E24" s="4" t="s">
        <v>10</v>
      </c>
      <c r="F24" s="2" t="s">
        <v>69</v>
      </c>
      <c r="G24" s="2"/>
    </row>
    <row r="25" spans="1:7" x14ac:dyDescent="0.2">
      <c r="A25" s="2">
        <v>13</v>
      </c>
      <c r="B25" s="2"/>
      <c r="C25" s="3">
        <v>46093</v>
      </c>
      <c r="D25" s="4" t="str">
        <f t="shared" si="0"/>
        <v>TH</v>
      </c>
      <c r="E25" s="4" t="s">
        <v>10</v>
      </c>
      <c r="F25" s="2" t="s">
        <v>70</v>
      </c>
      <c r="G25" s="2"/>
    </row>
    <row r="26" spans="1:7" x14ac:dyDescent="0.2">
      <c r="A26" s="14"/>
      <c r="B26" s="14">
        <v>7</v>
      </c>
      <c r="C26" s="15">
        <v>46094</v>
      </c>
      <c r="D26" s="16"/>
      <c r="E26" s="16" t="s">
        <v>12</v>
      </c>
      <c r="F26" s="14" t="s">
        <v>25</v>
      </c>
      <c r="G26" s="14"/>
    </row>
    <row r="27" spans="1:7" x14ac:dyDescent="0.2">
      <c r="A27" s="2">
        <v>14</v>
      </c>
      <c r="B27" s="2"/>
      <c r="C27" s="3">
        <v>46105</v>
      </c>
      <c r="D27" s="4" t="str">
        <f t="shared" si="0"/>
        <v>TU</v>
      </c>
      <c r="E27" s="4" t="s">
        <v>10</v>
      </c>
      <c r="F27" s="2" t="s">
        <v>71</v>
      </c>
      <c r="G27" s="2" t="s">
        <v>26</v>
      </c>
    </row>
    <row r="28" spans="1:7" x14ac:dyDescent="0.2">
      <c r="A28" s="2">
        <v>15</v>
      </c>
      <c r="B28" s="2"/>
      <c r="C28" s="3">
        <v>46107</v>
      </c>
      <c r="D28" s="4" t="str">
        <f t="shared" si="0"/>
        <v>TH</v>
      </c>
      <c r="E28" s="4" t="s">
        <v>10</v>
      </c>
      <c r="F28" s="2" t="s">
        <v>72</v>
      </c>
      <c r="G28" s="2" t="s">
        <v>27</v>
      </c>
    </row>
    <row r="29" spans="1:7" x14ac:dyDescent="0.2">
      <c r="A29" s="14"/>
      <c r="B29" s="14">
        <v>8</v>
      </c>
      <c r="C29" s="15">
        <v>46108</v>
      </c>
      <c r="D29" s="16"/>
      <c r="E29" s="16" t="s">
        <v>12</v>
      </c>
      <c r="F29" s="14" t="s">
        <v>28</v>
      </c>
      <c r="G29" s="14"/>
    </row>
    <row r="30" spans="1:7" x14ac:dyDescent="0.2">
      <c r="A30" s="2">
        <v>16</v>
      </c>
      <c r="B30" s="2"/>
      <c r="C30" s="3">
        <v>46112</v>
      </c>
      <c r="D30" s="4" t="str">
        <f t="shared" si="0"/>
        <v>TU</v>
      </c>
      <c r="E30" s="4" t="s">
        <v>10</v>
      </c>
      <c r="F30" s="2" t="s">
        <v>73</v>
      </c>
      <c r="G30" s="2"/>
    </row>
    <row r="31" spans="1:7" x14ac:dyDescent="0.2">
      <c r="A31" s="2">
        <v>17</v>
      </c>
      <c r="B31" s="2"/>
      <c r="C31" s="3">
        <v>46114</v>
      </c>
      <c r="D31" s="4" t="str">
        <f t="shared" ref="D31" si="2">CHOOSE(WEEKDAY(C31,2),"MO","TU","WE","TH","FR","SA","SU")</f>
        <v>TH</v>
      </c>
      <c r="E31" s="4" t="s">
        <v>10</v>
      </c>
      <c r="F31" s="2" t="s">
        <v>74</v>
      </c>
      <c r="G31" s="2"/>
    </row>
    <row r="32" spans="1:7" x14ac:dyDescent="0.2">
      <c r="A32" s="14"/>
      <c r="B32" s="14">
        <v>9</v>
      </c>
      <c r="C32" s="15">
        <v>46115</v>
      </c>
      <c r="D32" s="16"/>
      <c r="E32" s="16" t="s">
        <v>12</v>
      </c>
      <c r="F32" s="22" t="s">
        <v>29</v>
      </c>
      <c r="G32" s="14"/>
    </row>
    <row r="33" spans="1:7" x14ac:dyDescent="0.2">
      <c r="A33" s="30" t="s">
        <v>31</v>
      </c>
      <c r="B33" s="30"/>
      <c r="C33" s="30"/>
      <c r="D33" s="30"/>
      <c r="E33" s="30"/>
      <c r="F33" s="30"/>
      <c r="G33" s="30"/>
    </row>
    <row r="34" spans="1:7" x14ac:dyDescent="0.2">
      <c r="A34" s="5"/>
      <c r="B34" s="5"/>
      <c r="C34" s="6"/>
      <c r="D34" s="7"/>
      <c r="E34" s="7"/>
      <c r="F34" s="8" t="s">
        <v>32</v>
      </c>
      <c r="G34" s="5"/>
    </row>
    <row r="35" spans="1:7" x14ac:dyDescent="0.2">
      <c r="A35" s="9">
        <v>18</v>
      </c>
      <c r="B35" s="9"/>
      <c r="C35" s="10">
        <v>46119</v>
      </c>
      <c r="D35" s="11" t="str">
        <f t="shared" si="0"/>
        <v>TU</v>
      </c>
      <c r="E35" s="11"/>
      <c r="F35" s="9" t="s">
        <v>33</v>
      </c>
      <c r="G35" s="9" t="s">
        <v>30</v>
      </c>
    </row>
    <row r="36" spans="1:7" x14ac:dyDescent="0.2">
      <c r="A36" s="9">
        <v>19</v>
      </c>
      <c r="B36" s="9"/>
      <c r="C36" s="10">
        <v>46121</v>
      </c>
      <c r="D36" s="11" t="str">
        <f t="shared" si="0"/>
        <v>TH</v>
      </c>
      <c r="E36" s="11"/>
      <c r="F36" s="9" t="s">
        <v>34</v>
      </c>
      <c r="G36" s="9"/>
    </row>
    <row r="37" spans="1:7" x14ac:dyDescent="0.2">
      <c r="A37" s="17"/>
      <c r="B37" s="17">
        <v>10</v>
      </c>
      <c r="C37" s="18">
        <v>46122</v>
      </c>
      <c r="D37" s="19" t="str">
        <f>CHOOSE(WEEKDAY(C37,2),"MO","TU","WE","TH","FR","SA","SU")</f>
        <v>FR</v>
      </c>
      <c r="E37" s="19" t="s">
        <v>12</v>
      </c>
      <c r="F37" s="17" t="s">
        <v>35</v>
      </c>
      <c r="G37" s="17"/>
    </row>
    <row r="38" spans="1:7" x14ac:dyDescent="0.2">
      <c r="A38" s="8"/>
      <c r="B38" s="8"/>
      <c r="C38" s="12"/>
      <c r="D38" s="13"/>
      <c r="E38" s="13"/>
      <c r="F38" s="8" t="s">
        <v>36</v>
      </c>
      <c r="G38" s="8"/>
    </row>
    <row r="39" spans="1:7" x14ac:dyDescent="0.2">
      <c r="A39" s="9">
        <v>20</v>
      </c>
      <c r="B39" s="9"/>
      <c r="C39" s="10">
        <v>46126</v>
      </c>
      <c r="D39" s="11" t="str">
        <f t="shared" si="0"/>
        <v>TU</v>
      </c>
      <c r="E39" s="11"/>
      <c r="F39" s="9" t="s">
        <v>37</v>
      </c>
      <c r="G39" s="9" t="s">
        <v>38</v>
      </c>
    </row>
    <row r="40" spans="1:7" x14ac:dyDescent="0.2">
      <c r="A40" s="9">
        <v>21</v>
      </c>
      <c r="B40" s="9"/>
      <c r="C40" s="10">
        <v>46128</v>
      </c>
      <c r="D40" s="11" t="str">
        <f t="shared" si="0"/>
        <v>TH</v>
      </c>
      <c r="E40" s="11"/>
      <c r="F40" s="9" t="s">
        <v>39</v>
      </c>
      <c r="G40" s="9"/>
    </row>
    <row r="41" spans="1:7" x14ac:dyDescent="0.2">
      <c r="A41" s="17"/>
      <c r="B41" s="17">
        <v>11</v>
      </c>
      <c r="C41" s="18">
        <v>46129</v>
      </c>
      <c r="D41" s="19" t="str">
        <f>CHOOSE(WEEKDAY(C41,2),"MO","TU","WE","TH","FR","SA","SU")</f>
        <v>FR</v>
      </c>
      <c r="E41" s="19" t="s">
        <v>12</v>
      </c>
      <c r="F41" s="17" t="s">
        <v>35</v>
      </c>
      <c r="G41" s="17"/>
    </row>
    <row r="42" spans="1:7" x14ac:dyDescent="0.2">
      <c r="A42" s="8"/>
      <c r="B42" s="8"/>
      <c r="C42" s="12"/>
      <c r="D42" s="13"/>
      <c r="E42" s="13"/>
      <c r="F42" s="8" t="s">
        <v>40</v>
      </c>
      <c r="G42" s="8"/>
    </row>
    <row r="43" spans="1:7" x14ac:dyDescent="0.2">
      <c r="A43" s="9">
        <v>22</v>
      </c>
      <c r="B43" s="9"/>
      <c r="C43" s="10">
        <v>46133</v>
      </c>
      <c r="D43" s="11" t="str">
        <f t="shared" si="0"/>
        <v>TU</v>
      </c>
      <c r="E43" s="11"/>
      <c r="F43" s="9" t="s">
        <v>41</v>
      </c>
      <c r="G43" s="9" t="s">
        <v>42</v>
      </c>
    </row>
    <row r="44" spans="1:7" x14ac:dyDescent="0.2">
      <c r="A44" s="9">
        <v>23</v>
      </c>
      <c r="B44" s="9"/>
      <c r="C44" s="10">
        <v>46135</v>
      </c>
      <c r="D44" s="11" t="str">
        <f t="shared" si="0"/>
        <v>TH</v>
      </c>
      <c r="E44" s="11"/>
      <c r="F44" s="9" t="s">
        <v>43</v>
      </c>
      <c r="G44" s="9"/>
    </row>
    <row r="45" spans="1:7" x14ac:dyDescent="0.2">
      <c r="A45" s="17"/>
      <c r="B45" s="17">
        <v>12</v>
      </c>
      <c r="C45" s="18">
        <v>46136</v>
      </c>
      <c r="D45" s="19" t="str">
        <f>CHOOSE(WEEKDAY(C45,2),"MO","TU","WE","TH","FR","SA","SU")</f>
        <v>FR</v>
      </c>
      <c r="E45" s="19" t="s">
        <v>12</v>
      </c>
      <c r="F45" s="17" t="s">
        <v>35</v>
      </c>
      <c r="G45" s="20" t="s">
        <v>44</v>
      </c>
    </row>
    <row r="46" spans="1:7" x14ac:dyDescent="0.2">
      <c r="A46" s="8"/>
      <c r="B46" s="8"/>
      <c r="C46" s="12"/>
      <c r="D46" s="13"/>
      <c r="E46" s="13"/>
      <c r="F46" s="8" t="s">
        <v>45</v>
      </c>
      <c r="G46" s="8"/>
    </row>
    <row r="47" spans="1:7" x14ac:dyDescent="0.2">
      <c r="A47" s="9">
        <v>24</v>
      </c>
      <c r="B47" s="9"/>
      <c r="C47" s="10">
        <v>46140</v>
      </c>
      <c r="D47" s="11" t="str">
        <f t="shared" si="0"/>
        <v>TU</v>
      </c>
      <c r="E47" s="11"/>
      <c r="F47" s="9" t="s">
        <v>46</v>
      </c>
      <c r="G47" s="9" t="s">
        <v>47</v>
      </c>
    </row>
    <row r="48" spans="1:7" x14ac:dyDescent="0.2">
      <c r="A48" s="9">
        <v>25</v>
      </c>
      <c r="B48" s="9"/>
      <c r="C48" s="10">
        <v>46142</v>
      </c>
      <c r="D48" s="11" t="str">
        <f t="shared" si="0"/>
        <v>TH</v>
      </c>
      <c r="E48" s="11"/>
      <c r="F48" s="9" t="s">
        <v>48</v>
      </c>
      <c r="G48" s="9"/>
    </row>
    <row r="49" spans="1:7" x14ac:dyDescent="0.2">
      <c r="A49" s="17"/>
      <c r="B49" s="17">
        <v>13</v>
      </c>
      <c r="C49" s="18">
        <v>46143</v>
      </c>
      <c r="D49" s="19" t="str">
        <f>CHOOSE(WEEKDAY(C49,2),"MO","TU","WE","TH","FR","SA","SU")</f>
        <v>FR</v>
      </c>
      <c r="E49" s="19" t="s">
        <v>12</v>
      </c>
      <c r="F49" s="17" t="s">
        <v>35</v>
      </c>
      <c r="G49" s="17"/>
    </row>
    <row r="50" spans="1:7" x14ac:dyDescent="0.2">
      <c r="A50" s="8"/>
      <c r="B50" s="8"/>
      <c r="C50" s="12"/>
      <c r="D50" s="13"/>
      <c r="E50" s="13"/>
      <c r="F50" s="8" t="s">
        <v>49</v>
      </c>
      <c r="G50" s="8"/>
    </row>
    <row r="51" spans="1:7" x14ac:dyDescent="0.2">
      <c r="A51" s="9">
        <v>26</v>
      </c>
      <c r="B51" s="9"/>
      <c r="C51" s="10">
        <v>46147</v>
      </c>
      <c r="D51" s="11" t="str">
        <f t="shared" si="0"/>
        <v>TU</v>
      </c>
      <c r="E51" s="11"/>
      <c r="F51" s="9" t="s">
        <v>50</v>
      </c>
      <c r="G51" s="9" t="s">
        <v>51</v>
      </c>
    </row>
    <row r="52" spans="1:7" x14ac:dyDescent="0.2">
      <c r="A52" s="9">
        <v>26</v>
      </c>
      <c r="B52" s="9"/>
      <c r="C52" s="10">
        <v>46149</v>
      </c>
      <c r="D52" s="11" t="str">
        <f t="shared" ref="D52" si="3">CHOOSE(WEEKDAY(C52,2),"MO","TU","WE","TH","FR","SA","SU")</f>
        <v>TH</v>
      </c>
      <c r="E52" s="11"/>
      <c r="F52" s="9" t="s">
        <v>50</v>
      </c>
      <c r="G52" s="9"/>
    </row>
    <row r="53" spans="1:7" x14ac:dyDescent="0.2">
      <c r="A53" s="8"/>
      <c r="B53" s="8"/>
      <c r="C53" s="12"/>
      <c r="D53" s="13"/>
      <c r="E53" s="13"/>
      <c r="F53" s="8" t="s">
        <v>52</v>
      </c>
      <c r="G53" s="8"/>
    </row>
    <row r="54" spans="1:7" x14ac:dyDescent="0.2">
      <c r="A54" s="17"/>
      <c r="B54" s="17">
        <v>14</v>
      </c>
      <c r="C54" s="18">
        <v>46150</v>
      </c>
      <c r="D54" s="19" t="str">
        <f>CHOOSE(WEEKDAY(C54,2),"MO","TU","WE","TH","FR","SA","SU")</f>
        <v>FR</v>
      </c>
      <c r="E54" s="19" t="s">
        <v>12</v>
      </c>
      <c r="F54" s="17" t="s">
        <v>53</v>
      </c>
      <c r="G54" s="20" t="s">
        <v>54</v>
      </c>
    </row>
  </sheetData>
  <mergeCells count="4">
    <mergeCell ref="A1:G3"/>
    <mergeCell ref="A6:G6"/>
    <mergeCell ref="A33:G33"/>
    <mergeCell ref="A4:G4"/>
  </mergeCells>
  <pageMargins left="0.25" right="0.25" top="0.75" bottom="0.75" header="0.3" footer="0.3"/>
  <pageSetup scale="88" fitToWidth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DFF8-E1C0-4E06-83DD-F8BF1E12B744}">
  <dimension ref="A1:G8"/>
  <sheetViews>
    <sheetView workbookViewId="0">
      <selection activeCell="G9" sqref="G9"/>
    </sheetView>
  </sheetViews>
  <sheetFormatPr baseColWidth="10" defaultColWidth="8.83203125" defaultRowHeight="16" x14ac:dyDescent="0.2"/>
  <cols>
    <col min="1" max="2" width="4.1640625" bestFit="1" customWidth="1"/>
    <col min="3" max="3" width="11.6640625" customWidth="1"/>
    <col min="4" max="4" width="3.33203125" bestFit="1" customWidth="1"/>
    <col min="6" max="6" width="38.1640625" customWidth="1"/>
    <col min="7" max="7" width="52.83203125" customWidth="1"/>
  </cols>
  <sheetData>
    <row r="1" spans="1:7" x14ac:dyDescent="0.2">
      <c r="A1" s="28" t="s">
        <v>0</v>
      </c>
      <c r="B1" s="28"/>
      <c r="C1" s="28"/>
      <c r="D1" s="28"/>
      <c r="E1" s="28"/>
      <c r="F1" s="28"/>
      <c r="G1" s="28"/>
    </row>
    <row r="2" spans="1:7" x14ac:dyDescent="0.2">
      <c r="A2" s="28"/>
      <c r="B2" s="28"/>
      <c r="C2" s="28"/>
      <c r="D2" s="28"/>
      <c r="E2" s="28"/>
      <c r="F2" s="28"/>
      <c r="G2" s="28"/>
    </row>
    <row r="3" spans="1:7" x14ac:dyDescent="0.2">
      <c r="A3" s="28"/>
      <c r="B3" s="28"/>
      <c r="C3" s="28"/>
      <c r="D3" s="28"/>
      <c r="E3" s="28"/>
      <c r="F3" s="28"/>
      <c r="G3" s="28"/>
    </row>
    <row r="4" spans="1:7" x14ac:dyDescent="0.2">
      <c r="A4" s="31" t="s">
        <v>1</v>
      </c>
      <c r="B4" s="32"/>
      <c r="C4" s="32"/>
      <c r="D4" s="32"/>
      <c r="E4" s="32"/>
      <c r="F4" s="32"/>
      <c r="G4" s="33"/>
    </row>
    <row r="5" spans="1:7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</row>
    <row r="6" spans="1:7" x14ac:dyDescent="0.2">
      <c r="A6" s="29" t="s">
        <v>9</v>
      </c>
      <c r="B6" s="29"/>
      <c r="C6" s="29"/>
      <c r="D6" s="29"/>
      <c r="E6" s="29"/>
      <c r="F6" s="29"/>
      <c r="G6" s="29"/>
    </row>
    <row r="7" spans="1:7" x14ac:dyDescent="0.2">
      <c r="A7" s="23">
        <v>1</v>
      </c>
      <c r="B7" s="23"/>
      <c r="C7" s="24">
        <v>46051</v>
      </c>
      <c r="D7" s="25" t="str">
        <f>CHOOSE(WEEKDAY(C7,2),"MO","TU","WE","TH","FR","SA","SU")</f>
        <v>TH</v>
      </c>
      <c r="E7" s="25" t="s">
        <v>10</v>
      </c>
      <c r="F7" s="23" t="s">
        <v>11</v>
      </c>
      <c r="G7" s="26" t="s">
        <v>55</v>
      </c>
    </row>
    <row r="8" spans="1:7" x14ac:dyDescent="0.2">
      <c r="A8" s="14"/>
      <c r="B8" s="14">
        <v>1</v>
      </c>
      <c r="C8" s="15">
        <v>46052</v>
      </c>
      <c r="D8" s="16"/>
      <c r="E8" s="16" t="s">
        <v>12</v>
      </c>
      <c r="F8" s="14" t="s">
        <v>11</v>
      </c>
      <c r="G8" s="14" t="s">
        <v>56</v>
      </c>
    </row>
  </sheetData>
  <mergeCells count="3">
    <mergeCell ref="A1:G3"/>
    <mergeCell ref="A4:G4"/>
    <mergeCell ref="A6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CB49-3426-4AD0-9D50-1BBAAD3ED58A}">
  <dimension ref="A1:G9"/>
  <sheetViews>
    <sheetView workbookViewId="0">
      <selection activeCell="F9" sqref="F9"/>
    </sheetView>
  </sheetViews>
  <sheetFormatPr baseColWidth="10" defaultColWidth="8.83203125" defaultRowHeight="16" x14ac:dyDescent="0.2"/>
  <cols>
    <col min="6" max="6" width="33.83203125" customWidth="1"/>
    <col min="7" max="7" width="61.1640625" customWidth="1"/>
  </cols>
  <sheetData>
    <row r="1" spans="1:7" x14ac:dyDescent="0.2">
      <c r="A1" s="28" t="s">
        <v>0</v>
      </c>
      <c r="B1" s="28"/>
      <c r="C1" s="28"/>
      <c r="D1" s="28"/>
      <c r="E1" s="28"/>
      <c r="F1" s="28"/>
      <c r="G1" s="28"/>
    </row>
    <row r="2" spans="1:7" x14ac:dyDescent="0.2">
      <c r="A2" s="28"/>
      <c r="B2" s="28"/>
      <c r="C2" s="28"/>
      <c r="D2" s="28"/>
      <c r="E2" s="28"/>
      <c r="F2" s="28"/>
      <c r="G2" s="28"/>
    </row>
    <row r="3" spans="1:7" x14ac:dyDescent="0.2">
      <c r="A3" s="28"/>
      <c r="B3" s="28"/>
      <c r="C3" s="28"/>
      <c r="D3" s="28"/>
      <c r="E3" s="28"/>
      <c r="F3" s="28"/>
      <c r="G3" s="28"/>
    </row>
    <row r="4" spans="1:7" x14ac:dyDescent="0.2">
      <c r="A4" s="31" t="s">
        <v>1</v>
      </c>
      <c r="B4" s="32"/>
      <c r="C4" s="32"/>
      <c r="D4" s="32"/>
      <c r="E4" s="32"/>
      <c r="F4" s="32"/>
      <c r="G4" s="33"/>
    </row>
    <row r="5" spans="1:7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</row>
    <row r="6" spans="1:7" x14ac:dyDescent="0.2">
      <c r="A6" s="29" t="s">
        <v>9</v>
      </c>
      <c r="B6" s="29"/>
      <c r="C6" s="29"/>
      <c r="D6" s="29"/>
      <c r="E6" s="29"/>
      <c r="F6" s="29"/>
      <c r="G6" s="29"/>
    </row>
    <row r="7" spans="1:7" x14ac:dyDescent="0.2">
      <c r="A7" s="2">
        <v>2</v>
      </c>
      <c r="B7" s="2"/>
      <c r="C7" s="3">
        <v>46056</v>
      </c>
      <c r="D7" s="4" t="str">
        <f t="shared" ref="D7:D8" si="0">CHOOSE(WEEKDAY(C7,2),"MO","TU","WE","TH","FR","SA","SU")</f>
        <v>TU</v>
      </c>
      <c r="E7" s="4" t="s">
        <v>10</v>
      </c>
      <c r="F7" s="2" t="s">
        <v>13</v>
      </c>
      <c r="G7" s="2" t="s">
        <v>57</v>
      </c>
    </row>
    <row r="8" spans="1:7" x14ac:dyDescent="0.2">
      <c r="A8" s="2">
        <v>3</v>
      </c>
      <c r="B8" s="2"/>
      <c r="C8" s="3">
        <v>46058</v>
      </c>
      <c r="D8" s="4" t="str">
        <f t="shared" si="0"/>
        <v>TH</v>
      </c>
      <c r="E8" s="4" t="s">
        <v>10</v>
      </c>
      <c r="F8" s="2" t="s">
        <v>14</v>
      </c>
      <c r="G8" s="2" t="s">
        <v>58</v>
      </c>
    </row>
    <row r="9" spans="1:7" x14ac:dyDescent="0.2">
      <c r="A9" s="14"/>
      <c r="B9" s="14">
        <v>2</v>
      </c>
      <c r="C9" s="15">
        <v>46059</v>
      </c>
      <c r="D9" s="16"/>
      <c r="E9" s="16" t="s">
        <v>12</v>
      </c>
      <c r="F9" s="14" t="s">
        <v>59</v>
      </c>
      <c r="G9" s="14" t="s">
        <v>60</v>
      </c>
    </row>
  </sheetData>
  <mergeCells count="3">
    <mergeCell ref="A1:G3"/>
    <mergeCell ref="A4:G4"/>
    <mergeCell ref="A6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DFA4-3C63-4E8C-829D-96F0BE69EC49}">
  <dimension ref="A1:G8"/>
  <sheetViews>
    <sheetView workbookViewId="0">
      <selection activeCell="A7" sqref="A7:XFD8"/>
    </sheetView>
  </sheetViews>
  <sheetFormatPr baseColWidth="10" defaultColWidth="8.83203125" defaultRowHeight="16" x14ac:dyDescent="0.2"/>
  <cols>
    <col min="6" max="6" width="33.83203125" customWidth="1"/>
    <col min="7" max="7" width="61.1640625" customWidth="1"/>
  </cols>
  <sheetData>
    <row r="1" spans="1:7" x14ac:dyDescent="0.2">
      <c r="A1" s="28" t="s">
        <v>0</v>
      </c>
      <c r="B1" s="28"/>
      <c r="C1" s="28"/>
      <c r="D1" s="28"/>
      <c r="E1" s="28"/>
      <c r="F1" s="28"/>
      <c r="G1" s="28"/>
    </row>
    <row r="2" spans="1:7" x14ac:dyDescent="0.2">
      <c r="A2" s="28"/>
      <c r="B2" s="28"/>
      <c r="C2" s="28"/>
      <c r="D2" s="28"/>
      <c r="E2" s="28"/>
      <c r="F2" s="28"/>
      <c r="G2" s="28"/>
    </row>
    <row r="3" spans="1:7" x14ac:dyDescent="0.2">
      <c r="A3" s="28"/>
      <c r="B3" s="28"/>
      <c r="C3" s="28"/>
      <c r="D3" s="28"/>
      <c r="E3" s="28"/>
      <c r="F3" s="28"/>
      <c r="G3" s="28"/>
    </row>
    <row r="4" spans="1:7" x14ac:dyDescent="0.2">
      <c r="A4" s="31" t="s">
        <v>1</v>
      </c>
      <c r="B4" s="32"/>
      <c r="C4" s="32"/>
      <c r="D4" s="32"/>
      <c r="E4" s="32"/>
      <c r="F4" s="32"/>
      <c r="G4" s="33"/>
    </row>
    <row r="5" spans="1:7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</row>
    <row r="6" spans="1:7" x14ac:dyDescent="0.2">
      <c r="A6" s="29" t="s">
        <v>9</v>
      </c>
      <c r="B6" s="29"/>
      <c r="C6" s="29"/>
      <c r="D6" s="29"/>
      <c r="E6" s="29"/>
      <c r="F6" s="29"/>
      <c r="G6" s="29"/>
    </row>
    <row r="7" spans="1:7" x14ac:dyDescent="0.2">
      <c r="A7" s="2">
        <v>4</v>
      </c>
      <c r="B7" s="2"/>
      <c r="C7" s="3">
        <v>46063</v>
      </c>
      <c r="D7" s="4" t="str">
        <f t="shared" ref="D7:D8" si="0">CHOOSE(WEEKDAY(C7,2),"MO","TU","WE","TH","FR","SA","SU")</f>
        <v>TU</v>
      </c>
      <c r="E7" s="4" t="s">
        <v>10</v>
      </c>
      <c r="F7" s="2" t="s">
        <v>17</v>
      </c>
      <c r="G7" s="2"/>
    </row>
    <row r="8" spans="1:7" x14ac:dyDescent="0.2">
      <c r="A8" s="2">
        <v>5</v>
      </c>
      <c r="B8" s="2"/>
      <c r="C8" s="3">
        <v>46065</v>
      </c>
      <c r="D8" s="4" t="str">
        <f t="shared" si="0"/>
        <v>TH</v>
      </c>
      <c r="E8" s="4" t="s">
        <v>10</v>
      </c>
      <c r="F8" s="2" t="s">
        <v>61</v>
      </c>
      <c r="G8" s="2"/>
    </row>
  </sheetData>
  <mergeCells count="3">
    <mergeCell ref="A1:G3"/>
    <mergeCell ref="A4:G4"/>
    <mergeCell ref="A6:G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69242CEE7EA5499201111859F921A5" ma:contentTypeVersion="9" ma:contentTypeDescription="Create a new document." ma:contentTypeScope="" ma:versionID="79799ec2224a860a48bc05e0b24adb40">
  <xsd:schema xmlns:xsd="http://www.w3.org/2001/XMLSchema" xmlns:xs="http://www.w3.org/2001/XMLSchema" xmlns:p="http://schemas.microsoft.com/office/2006/metadata/properties" xmlns:ns2="c2430095-f981-4614-98e5-0f47adbc7c2b" targetNamespace="http://schemas.microsoft.com/office/2006/metadata/properties" ma:root="true" ma:fieldsID="b5776e91aebbb5b8327040d75415c3d0" ns2:_="">
    <xsd:import namespace="c2430095-f981-4614-98e5-0f47adbc7c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30095-f981-4614-98e5-0f47adbc7c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16df305-adfd-4c0b-944e-20c573854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430095-f981-4614-98e5-0f47adbc7c2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71806F-4F7F-4265-AD46-A28995B00CE6}"/>
</file>

<file path=customXml/itemProps2.xml><?xml version="1.0" encoding="utf-8"?>
<ds:datastoreItem xmlns:ds="http://schemas.openxmlformats.org/officeDocument/2006/customXml" ds:itemID="{A080F79A-8641-4AB6-A88C-B7C6A1850903}">
  <ds:schemaRefs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c2430095-f981-4614-98e5-0f47adbc7c2b"/>
  </ds:schemaRefs>
</ds:datastoreItem>
</file>

<file path=customXml/itemProps3.xml><?xml version="1.0" encoding="utf-8"?>
<ds:datastoreItem xmlns:ds="http://schemas.openxmlformats.org/officeDocument/2006/customXml" ds:itemID="{507A9BA0-BE8A-471C-B8AC-B0C90013F8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Schedule</vt:lpstr>
      <vt:lpstr>Week 01</vt:lpstr>
      <vt:lpstr>Week 02</vt:lpstr>
      <vt:lpstr>Week 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Timothy Richards</dc:creator>
  <cp:keywords/>
  <dc:description/>
  <cp:lastModifiedBy>Timothy Richards</cp:lastModifiedBy>
  <cp:revision/>
  <dcterms:created xsi:type="dcterms:W3CDTF">2026-01-28T19:53:42Z</dcterms:created>
  <dcterms:modified xsi:type="dcterms:W3CDTF">2026-02-21T17:38:43Z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0x0101005369242CEE7EA5499201111859F921A5</vt:lpwstr>
  </property>
</Properties>
</file>